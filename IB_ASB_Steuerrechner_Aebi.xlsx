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ch\Dropbox\Online-Rechner\Fairness-Initative\fairness_rechner1\"/>
    </mc:Choice>
  </mc:AlternateContent>
  <xr:revisionPtr revIDLastSave="0" documentId="13_ncr:1_{5EAC4429-9B9F-4AD1-838E-B15042EAB031}" xr6:coauthVersionLast="47" xr6:coauthVersionMax="47" xr10:uidLastSave="{00000000-0000-0000-0000-000000000000}"/>
  <bookViews>
    <workbookView xWindow="28680" yWindow="-120" windowWidth="29040" windowHeight="15720" tabRatio="803" xr2:uid="{1C017D26-CC31-4C78-8632-5B1A867D044A}"/>
  </bookViews>
  <sheets>
    <sheet name="Ehepaar" sheetId="6" r:id="rId1"/>
    <sheet name="Tarife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J16" i="6"/>
  <c r="H7" i="6"/>
  <c r="I7" i="6"/>
  <c r="L11" i="6" s="1"/>
  <c r="H16" i="6"/>
  <c r="M8" i="6"/>
  <c r="M10" i="6"/>
  <c r="M9" i="6"/>
  <c r="L13" i="6"/>
  <c r="L16" i="6"/>
  <c r="M16" i="6"/>
  <c r="L9" i="6"/>
  <c r="L8" i="6"/>
  <c r="K7" i="6"/>
  <c r="J7" i="6"/>
  <c r="L10" i="6"/>
  <c r="E10" i="6"/>
  <c r="E9" i="6"/>
  <c r="K16" i="6"/>
  <c r="J6" i="6"/>
  <c r="J9" i="6"/>
  <c r="J10" i="6"/>
  <c r="K10" i="6"/>
  <c r="K9" i="6"/>
  <c r="K8" i="6"/>
  <c r="J8" i="6"/>
  <c r="K6" i="6"/>
  <c r="I9" i="6"/>
  <c r="H9" i="6"/>
  <c r="F7" i="6"/>
  <c r="I10" i="6"/>
  <c r="H10" i="6"/>
  <c r="G10" i="6"/>
  <c r="F10" i="6"/>
  <c r="G9" i="6"/>
  <c r="F9" i="6"/>
  <c r="I8" i="6"/>
  <c r="H8" i="6"/>
  <c r="G7" i="6"/>
  <c r="E11" i="6" s="1"/>
  <c r="H6" i="6"/>
  <c r="I6" i="6"/>
  <c r="G6" i="6"/>
  <c r="F6" i="6"/>
  <c r="E6" i="6"/>
  <c r="D24" i="6" s="1"/>
  <c r="F8" i="6"/>
  <c r="B10" i="7"/>
  <c r="B3" i="7"/>
  <c r="L12" i="6" l="1"/>
  <c r="M6" i="6"/>
  <c r="L6" i="6"/>
  <c r="M7" i="6"/>
  <c r="L7" i="6"/>
  <c r="E7" i="6"/>
  <c r="K14" i="6"/>
  <c r="I14" i="6"/>
  <c r="H14" i="6"/>
  <c r="R15" i="6" s="1"/>
  <c r="J14" i="6"/>
  <c r="F14" i="6"/>
  <c r="E16" i="6"/>
  <c r="F26" i="7"/>
  <c r="D40" i="7"/>
  <c r="D41" i="7"/>
  <c r="M4" i="7"/>
  <c r="E1" i="7"/>
  <c r="D17" i="7"/>
  <c r="B11" i="7"/>
  <c r="C11" i="7" s="1"/>
  <c r="B5" i="7"/>
  <c r="B6" i="7"/>
  <c r="B7" i="7"/>
  <c r="B8" i="7"/>
  <c r="B9" i="7"/>
  <c r="B4" i="7"/>
  <c r="B2" i="7"/>
  <c r="J11" i="7"/>
  <c r="J10" i="7"/>
  <c r="J9" i="7"/>
  <c r="J8" i="7"/>
  <c r="J7" i="7"/>
  <c r="J6" i="7"/>
  <c r="J5" i="7"/>
  <c r="J4" i="7"/>
  <c r="J3" i="7"/>
  <c r="M14" i="6" l="1"/>
  <c r="M15" i="6" s="1"/>
  <c r="M17" i="6" s="1"/>
  <c r="I15" i="6"/>
  <c r="I17" i="6" s="1"/>
  <c r="K15" i="6"/>
  <c r="K17" i="6" s="1"/>
  <c r="J15" i="6"/>
  <c r="J17" i="6" s="1"/>
  <c r="L14" i="6"/>
  <c r="S15" i="6"/>
  <c r="H15" i="6" s="1"/>
  <c r="D5" i="7"/>
  <c r="D11" i="7"/>
  <c r="D3" i="7"/>
  <c r="J19" i="6" l="1"/>
  <c r="O19" i="6" s="1"/>
  <c r="L15" i="6"/>
  <c r="L17" i="6" s="1"/>
  <c r="H17" i="6"/>
  <c r="H19" i="6" s="1"/>
  <c r="G16" i="6"/>
  <c r="F16" i="6"/>
  <c r="D18" i="7"/>
  <c r="D19" i="7"/>
  <c r="D20" i="7"/>
  <c r="D21" i="7"/>
  <c r="D22" i="7"/>
  <c r="D23" i="7"/>
  <c r="D24" i="7"/>
  <c r="D25" i="7"/>
  <c r="D26" i="7"/>
  <c r="D28" i="7"/>
  <c r="D29" i="7"/>
  <c r="D30" i="7"/>
  <c r="D31" i="7"/>
  <c r="D32" i="7"/>
  <c r="D33" i="7"/>
  <c r="D34" i="7"/>
  <c r="D35" i="7"/>
  <c r="D36" i="7"/>
  <c r="D37" i="7"/>
  <c r="D38" i="7"/>
  <c r="D39" i="7"/>
  <c r="E13" i="6"/>
  <c r="G8" i="6"/>
  <c r="E8" i="6"/>
  <c r="N19" i="6" l="1"/>
  <c r="G14" i="6"/>
  <c r="E14" i="6"/>
  <c r="E15" i="6" s="1"/>
  <c r="D7" i="7"/>
  <c r="D10" i="7"/>
  <c r="D4" i="7"/>
  <c r="E17" i="6" l="1"/>
  <c r="C3" i="7"/>
  <c r="D8" i="7"/>
  <c r="D9" i="7"/>
  <c r="D6" i="7"/>
  <c r="C4" i="7" l="1"/>
  <c r="N21" i="6" l="1"/>
  <c r="O21" i="6"/>
  <c r="G15" i="6"/>
  <c r="G17" i="6" s="1"/>
  <c r="C5" i="7"/>
  <c r="F15" i="6" l="1"/>
  <c r="F17" i="6" s="1"/>
  <c r="F19" i="6" s="1"/>
  <c r="G21" i="6" s="1"/>
  <c r="C6" i="7"/>
  <c r="C7" i="7" l="1"/>
  <c r="C8" i="7" l="1"/>
  <c r="C9" i="7" l="1"/>
  <c r="C10" i="7" l="1"/>
</calcChain>
</file>

<file path=xl/sharedStrings.xml><?xml version="1.0" encoding="utf-8"?>
<sst xmlns="http://schemas.openxmlformats.org/spreadsheetml/2006/main" count="107" uniqueCount="76">
  <si>
    <t>Kinderabzug</t>
  </si>
  <si>
    <t>Berufskosten pauschal 3%</t>
  </si>
  <si>
    <t>Steuerbares Einkommen</t>
  </si>
  <si>
    <t>Versicherungsabzug Kinder</t>
  </si>
  <si>
    <t>Gemäss Verordnung</t>
  </si>
  <si>
    <t>Steuer gemäss Tariftabellen</t>
  </si>
  <si>
    <t>Zweiverdienerabzug</t>
  </si>
  <si>
    <t>Verheiratetenabzug</t>
  </si>
  <si>
    <t>Kinder</t>
  </si>
  <si>
    <t xml:space="preserve">Abzüge </t>
  </si>
  <si>
    <t>bis</t>
  </si>
  <si>
    <t>für</t>
  </si>
  <si>
    <t>Tarif Individualbesteuerung</t>
  </si>
  <si>
    <t>Gesamteinkommen</t>
  </si>
  <si>
    <t>Ersteinkommen</t>
  </si>
  <si>
    <t>Zweiteinkommen</t>
  </si>
  <si>
    <t>Art. 33 Abs. 1 Bst. g DBG</t>
  </si>
  <si>
    <t>Art. 35 Abs. 1 Bst. a DBG</t>
  </si>
  <si>
    <t>Art. 33 Abs. 1bis Bst. b DBG</t>
  </si>
  <si>
    <t>Art. 33 Abs. 2 DBG</t>
  </si>
  <si>
    <t>Art. 35 Abs. 1 Bst. c DBG</t>
  </si>
  <si>
    <t>Art. 36 Abs. 2bis DBG</t>
  </si>
  <si>
    <t>Anteil Ersteinkommen</t>
  </si>
  <si>
    <t>Differenz</t>
  </si>
  <si>
    <t>cpi incr</t>
  </si>
  <si>
    <t>Stufe 1 Unverheiratete</t>
  </si>
  <si>
    <t>Stufe 2 Unverheiratete</t>
  </si>
  <si>
    <t>Stufe 3 Unverheiratete</t>
  </si>
  <si>
    <t>Stufe 4 Unverheiratete</t>
  </si>
  <si>
    <t>Stufe 5 Unverheiratete</t>
  </si>
  <si>
    <t>Stufe 6 Unverheiratete</t>
  </si>
  <si>
    <t>Stufe 7 Unverheiratete</t>
  </si>
  <si>
    <t>Stufe 8 Unverheiratete</t>
  </si>
  <si>
    <t>Stufe 9 Unverheiratete</t>
  </si>
  <si>
    <t>Stufe 10 Unverheiratete</t>
  </si>
  <si>
    <t>Stufe 11 Unverheiratete</t>
  </si>
  <si>
    <t>Stufe 1 Verheiratete</t>
  </si>
  <si>
    <t>Stufe 2 Verheiratete</t>
  </si>
  <si>
    <t>Stufe 3 Verheiratete</t>
  </si>
  <si>
    <t>Stufe 4 Verheiratete</t>
  </si>
  <si>
    <t>Stufe 5 Verheiratete</t>
  </si>
  <si>
    <t>Stufe 6 Verheiratete</t>
  </si>
  <si>
    <t>Stufe 7 Verheiratete</t>
  </si>
  <si>
    <t>Stufe 8 Verheiratete</t>
  </si>
  <si>
    <t>Stufe 9 Verheiratete</t>
  </si>
  <si>
    <t>Stufe 10 Verheiratete</t>
  </si>
  <si>
    <t>Stufe 11 Verheiratete</t>
  </si>
  <si>
    <t>Stufe 12 Verheiratete</t>
  </si>
  <si>
    <t>Stufe 13 Verheiratete</t>
  </si>
  <si>
    <t>Stufe 14 Verheiratete</t>
  </si>
  <si>
    <t>Stufe 15 Verheiratete</t>
  </si>
  <si>
    <t>Status quo ohne Kinder</t>
  </si>
  <si>
    <t>Status quo mit Kindern</t>
  </si>
  <si>
    <t>Steuerbetrag</t>
  </si>
  <si>
    <t>Summe</t>
  </si>
  <si>
    <t>CPI</t>
  </si>
  <si>
    <t>für 2026</t>
  </si>
  <si>
    <t>für 2025</t>
  </si>
  <si>
    <t>Versicherungsabzug</t>
  </si>
  <si>
    <t>Kinderabzug vom Steuerbetrag</t>
  </si>
  <si>
    <t>Art. 36 Abs. 1 bzw. 2 DBG</t>
  </si>
  <si>
    <t>Einkommen (Erwerbseinkommen)
abzügl. Sozialversicherungsbeiträge</t>
  </si>
  <si>
    <t>Direkte Bundesteuer 
status quo</t>
  </si>
  <si>
    <t>Direkte Bundesteuer 
neu (Individualbest.)</t>
  </si>
  <si>
    <t>Nicht-Erwerbseinkommen</t>
  </si>
  <si>
    <t>Erwerbseinkommen</t>
  </si>
  <si>
    <t>Einkommensarten</t>
  </si>
  <si>
    <t>Direkte Bundesteuer 
ASB, Szenario hohe Belastung, individuell</t>
  </si>
  <si>
    <t>Direkte Bundesteuer 
ASB, Szenario hohe Belastung, gemeinsame Besteuerung</t>
  </si>
  <si>
    <t>Modell alternative Steuerberechnung</t>
  </si>
  <si>
    <t>hohe Belastung</t>
  </si>
  <si>
    <t>niedrige Belastung</t>
  </si>
  <si>
    <t>Variante:</t>
  </si>
  <si>
    <t>Direkte Bundesteuer 
ASB, Szenario niedrige Belastung, individuell</t>
  </si>
  <si>
    <t>Direkte Bundesteuer 
ASB, Szenario niedrige Belastung, gemeinsame Besteuerung</t>
  </si>
  <si>
    <t>Einverdienerabzug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</si>
</sst>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gray0625">
        <bgColor theme="8" tint="0.79998168889431442"/>
      </patternFill>
    </fill>
    <fill>
      <patternFill patternType="gray0625">
        <bgColor theme="8" tint="0.599993896298104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9" fontId="0" fillId="2" borderId="0" xfId="0" applyNumberFormat="1" applyFill="1"/>
    <xf numFmtId="3" fontId="0" fillId="0" borderId="0" xfId="0" applyNumberFormat="1"/>
    <xf numFmtId="4" fontId="0" fillId="0" borderId="0" xfId="0" applyNumberFormat="1"/>
    <xf numFmtId="9" fontId="0" fillId="0" borderId="0" xfId="0" applyNumberFormat="1"/>
    <xf numFmtId="0" fontId="0" fillId="2" borderId="0" xfId="0" applyFill="1" applyAlignment="1">
      <alignment horizontal="center" vertical="top"/>
    </xf>
    <xf numFmtId="0" fontId="0" fillId="3" borderId="0" xfId="0" applyFill="1"/>
    <xf numFmtId="164" fontId="0" fillId="3" borderId="0" xfId="0" applyNumberFormat="1" applyFill="1"/>
    <xf numFmtId="164" fontId="1" fillId="3" borderId="0" xfId="0" applyNumberFormat="1" applyFont="1" applyFill="1"/>
    <xf numFmtId="164" fontId="0" fillId="4" borderId="0" xfId="0" applyNumberFormat="1" applyFill="1"/>
    <xf numFmtId="164" fontId="1" fillId="4" borderId="0" xfId="0" applyNumberFormat="1" applyFont="1" applyFill="1"/>
    <xf numFmtId="0" fontId="1" fillId="3" borderId="0" xfId="0" applyFont="1" applyFill="1"/>
    <xf numFmtId="0" fontId="1" fillId="4" borderId="0" xfId="0" applyFont="1" applyFill="1"/>
    <xf numFmtId="164" fontId="0" fillId="2" borderId="0" xfId="0" applyNumberFormat="1" applyFill="1"/>
    <xf numFmtId="0" fontId="2" fillId="0" borderId="0" xfId="0" applyFont="1" applyAlignment="1">
      <alignment vertical="center"/>
    </xf>
    <xf numFmtId="0" fontId="0" fillId="3" borderId="0" xfId="0" applyFill="1" applyAlignment="1">
      <alignment horizontal="center" wrapText="1"/>
    </xf>
    <xf numFmtId="0" fontId="0" fillId="5" borderId="0" xfId="0" applyFill="1"/>
    <xf numFmtId="10" fontId="0" fillId="0" borderId="0" xfId="0" applyNumberFormat="1"/>
    <xf numFmtId="164" fontId="3" fillId="2" borderId="0" xfId="0" applyNumberFormat="1" applyFont="1" applyFill="1"/>
    <xf numFmtId="10" fontId="0" fillId="2" borderId="0" xfId="0" applyNumberFormat="1" applyFill="1"/>
    <xf numFmtId="164" fontId="4" fillId="3" borderId="0" xfId="0" applyNumberFormat="1" applyFont="1" applyFill="1"/>
    <xf numFmtId="164" fontId="4" fillId="4" borderId="0" xfId="0" applyNumberFormat="1" applyFont="1" applyFill="1"/>
    <xf numFmtId="164" fontId="5" fillId="3" borderId="0" xfId="0" applyNumberFormat="1" applyFont="1" applyFill="1"/>
    <xf numFmtId="0" fontId="5" fillId="2" borderId="0" xfId="0" applyFont="1" applyFill="1" applyAlignment="1">
      <alignment horizontal="right"/>
    </xf>
    <xf numFmtId="164" fontId="4" fillId="3" borderId="0" xfId="0" applyNumberFormat="1" applyFont="1" applyFill="1" applyAlignment="1">
      <alignment horizontal="center"/>
    </xf>
    <xf numFmtId="164" fontId="5" fillId="2" borderId="0" xfId="0" applyNumberFormat="1" applyFont="1" applyFill="1"/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 wrapText="1"/>
    </xf>
    <xf numFmtId="0" fontId="1" fillId="6" borderId="0" xfId="0" applyFont="1" applyFill="1"/>
    <xf numFmtId="164" fontId="0" fillId="6" borderId="0" xfId="0" applyNumberFormat="1" applyFill="1"/>
    <xf numFmtId="164" fontId="1" fillId="6" borderId="0" xfId="0" applyNumberFormat="1" applyFont="1" applyFill="1"/>
    <xf numFmtId="164" fontId="4" fillId="6" borderId="0" xfId="0" applyNumberFormat="1" applyFont="1" applyFill="1"/>
    <xf numFmtId="0" fontId="0" fillId="6" borderId="0" xfId="0" applyFill="1"/>
    <xf numFmtId="0" fontId="0" fillId="7" borderId="0" xfId="0" applyFill="1"/>
    <xf numFmtId="0" fontId="1" fillId="7" borderId="0" xfId="0" applyFont="1" applyFill="1"/>
    <xf numFmtId="164" fontId="0" fillId="7" borderId="0" xfId="0" applyNumberFormat="1" applyFill="1"/>
    <xf numFmtId="164" fontId="1" fillId="7" borderId="0" xfId="0" applyNumberFormat="1" applyFont="1" applyFill="1" applyAlignment="1">
      <alignment horizontal="center"/>
    </xf>
    <xf numFmtId="164" fontId="4" fillId="7" borderId="0" xfId="0" applyNumberFormat="1" applyFont="1" applyFill="1"/>
    <xf numFmtId="164" fontId="5" fillId="7" borderId="0" xfId="0" applyNumberFormat="1" applyFont="1" applyFill="1" applyAlignment="1">
      <alignment horizontal="center"/>
    </xf>
    <xf numFmtId="164" fontId="4" fillId="7" borderId="0" xfId="0" applyNumberFormat="1" applyFont="1" applyFill="1" applyAlignment="1">
      <alignment horizontal="center"/>
    </xf>
    <xf numFmtId="0" fontId="0" fillId="8" borderId="0" xfId="0" applyFill="1" applyAlignment="1">
      <alignment horizontal="center" wrapText="1"/>
    </xf>
    <xf numFmtId="164" fontId="0" fillId="8" borderId="0" xfId="0" applyNumberFormat="1" applyFill="1"/>
    <xf numFmtId="0" fontId="1" fillId="8" borderId="0" xfId="0" applyFont="1" applyFill="1"/>
    <xf numFmtId="164" fontId="1" fillId="8" borderId="0" xfId="0" applyNumberFormat="1" applyFont="1" applyFill="1"/>
    <xf numFmtId="164" fontId="4" fillId="8" borderId="0" xfId="0" applyNumberFormat="1" applyFont="1" applyFill="1"/>
    <xf numFmtId="0" fontId="0" fillId="8" borderId="0" xfId="0" applyFill="1"/>
    <xf numFmtId="0" fontId="0" fillId="9" borderId="0" xfId="0" applyFill="1"/>
    <xf numFmtId="0" fontId="1" fillId="9" borderId="0" xfId="0" applyFont="1" applyFill="1"/>
    <xf numFmtId="164" fontId="0" fillId="9" borderId="0" xfId="0" applyNumberFormat="1" applyFill="1"/>
    <xf numFmtId="164" fontId="1" fillId="9" borderId="0" xfId="0" applyNumberFormat="1" applyFont="1" applyFill="1" applyAlignment="1">
      <alignment horizontal="center"/>
    </xf>
    <xf numFmtId="164" fontId="5" fillId="9" borderId="0" xfId="0" applyNumberFormat="1" applyFont="1" applyFill="1" applyAlignment="1">
      <alignment horizontal="center"/>
    </xf>
    <xf numFmtId="164" fontId="4" fillId="9" borderId="0" xfId="0" applyNumberFormat="1" applyFont="1" applyFill="1" applyAlignment="1">
      <alignment horizontal="center"/>
    </xf>
    <xf numFmtId="0" fontId="0" fillId="7" borderId="0" xfId="0" applyFill="1" applyAlignment="1">
      <alignment horizontal="center" wrapText="1"/>
    </xf>
    <xf numFmtId="164" fontId="1" fillId="7" borderId="0" xfId="0" applyNumberFormat="1" applyFont="1" applyFill="1" applyAlignment="1">
      <alignment horizontal="center"/>
    </xf>
    <xf numFmtId="0" fontId="0" fillId="8" borderId="0" xfId="0" applyFill="1" applyAlignment="1">
      <alignment horizontal="center" wrapText="1"/>
    </xf>
    <xf numFmtId="0" fontId="0" fillId="6" borderId="0" xfId="0" applyFill="1" applyAlignment="1">
      <alignment horizontal="center" wrapText="1"/>
    </xf>
    <xf numFmtId="164" fontId="5" fillId="8" borderId="0" xfId="0" applyNumberFormat="1" applyFont="1" applyFill="1" applyAlignment="1">
      <alignment horizontal="center"/>
    </xf>
    <xf numFmtId="164" fontId="4" fillId="8" borderId="0" xfId="0" applyNumberFormat="1" applyFont="1" applyFill="1" applyAlignment="1">
      <alignment horizontal="center"/>
    </xf>
    <xf numFmtId="164" fontId="5" fillId="6" borderId="0" xfId="0" applyNumberFormat="1" applyFont="1" applyFill="1" applyAlignment="1">
      <alignment horizontal="center"/>
    </xf>
    <xf numFmtId="164" fontId="4" fillId="6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 vertical="top"/>
    </xf>
    <xf numFmtId="0" fontId="0" fillId="4" borderId="0" xfId="0" applyFill="1" applyAlignment="1">
      <alignment horizontal="center" wrapText="1"/>
    </xf>
    <xf numFmtId="164" fontId="4" fillId="4" borderId="0" xfId="0" applyNumberFormat="1" applyFont="1" applyFill="1" applyAlignment="1">
      <alignment horizontal="center"/>
    </xf>
    <xf numFmtId="164" fontId="5" fillId="4" borderId="0" xfId="0" applyNumberFormat="1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87131-008C-4934-8BCB-712AE9D3AB34}">
  <sheetPr>
    <tabColor theme="8" tint="0.59999389629810485"/>
  </sheetPr>
  <dimension ref="A1:T24"/>
  <sheetViews>
    <sheetView tabSelected="1" zoomScaleNormal="100" workbookViewId="0">
      <pane xSplit="4" ySplit="5" topLeftCell="K6" activePane="bottomRight" state="frozen"/>
      <selection pane="topRight" activeCell="E1" sqref="E1"/>
      <selection pane="bottomLeft" activeCell="A6" sqref="A6"/>
      <selection pane="bottomRight" activeCell="E2" sqref="E2:G2"/>
    </sheetView>
  </sheetViews>
  <sheetFormatPr baseColWidth="10" defaultColWidth="11.5703125" defaultRowHeight="15" x14ac:dyDescent="0.25"/>
  <cols>
    <col min="2" max="3" width="21.42578125" customWidth="1"/>
    <col min="4" max="4" width="31.7109375" customWidth="1"/>
    <col min="5" max="5" width="26.85546875" customWidth="1"/>
    <col min="6" max="11" width="27.140625" customWidth="1"/>
    <col min="12" max="13" width="27.28515625" customWidth="1"/>
    <col min="14" max="15" width="27.140625" customWidth="1"/>
    <col min="16" max="16" width="3.5703125" customWidth="1"/>
    <col min="17" max="17" width="22.85546875" customWidth="1"/>
    <col min="18" max="18" width="15.85546875" bestFit="1" customWidth="1"/>
  </cols>
  <sheetData>
    <row r="1" spans="1:20" x14ac:dyDescent="0.25">
      <c r="E1" s="1" t="s">
        <v>8</v>
      </c>
      <c r="F1" s="30">
        <v>2</v>
      </c>
    </row>
    <row r="2" spans="1:20" s="1" customFormat="1" x14ac:dyDescent="0.25">
      <c r="E2" s="66" t="str">
        <f>CONCATENATE("Ehapaar, Anzahl Kinder: ",F1)</f>
        <v>Ehapaar, Anzahl Kinder: 2</v>
      </c>
      <c r="F2" s="66"/>
      <c r="G2" s="66"/>
      <c r="H2" s="31"/>
      <c r="I2" s="31"/>
      <c r="J2" s="31"/>
      <c r="K2" s="31"/>
      <c r="N2" s="31"/>
      <c r="O2" s="31"/>
      <c r="Q2" s="1" t="s">
        <v>65</v>
      </c>
    </row>
    <row r="3" spans="1:20" s="1" customFormat="1" ht="45.6" customHeight="1" x14ac:dyDescent="0.25">
      <c r="A3" s="67" t="s">
        <v>9</v>
      </c>
      <c r="B3" s="67"/>
      <c r="E3" s="19" t="s">
        <v>62</v>
      </c>
      <c r="F3" s="68" t="s">
        <v>63</v>
      </c>
      <c r="G3" s="68"/>
      <c r="H3" s="60" t="s">
        <v>73</v>
      </c>
      <c r="I3" s="60"/>
      <c r="J3" s="61" t="s">
        <v>67</v>
      </c>
      <c r="K3" s="61"/>
      <c r="L3" s="46" t="s">
        <v>74</v>
      </c>
      <c r="M3" s="33" t="s">
        <v>68</v>
      </c>
      <c r="N3" s="58" t="s">
        <v>69</v>
      </c>
      <c r="O3" s="58"/>
      <c r="Q3" s="1" t="s">
        <v>64</v>
      </c>
      <c r="R3" s="2" t="s">
        <v>51</v>
      </c>
      <c r="S3" s="2" t="s">
        <v>52</v>
      </c>
    </row>
    <row r="4" spans="1:20" s="1" customFormat="1" x14ac:dyDescent="0.25">
      <c r="A4" s="67"/>
      <c r="B4" s="67"/>
      <c r="E4" s="10"/>
      <c r="F4" s="13"/>
      <c r="G4" s="13"/>
      <c r="H4" s="47"/>
      <c r="I4" s="47"/>
      <c r="J4" s="35"/>
      <c r="K4" s="35"/>
      <c r="L4" s="51"/>
      <c r="M4" s="38"/>
      <c r="N4" s="52"/>
      <c r="O4" s="39"/>
    </row>
    <row r="5" spans="1:20" s="1" customFormat="1" x14ac:dyDescent="0.25">
      <c r="A5" s="9"/>
      <c r="B5" s="9"/>
      <c r="E5" s="15" t="s">
        <v>13</v>
      </c>
      <c r="F5" s="16" t="s">
        <v>14</v>
      </c>
      <c r="G5" s="16" t="s">
        <v>15</v>
      </c>
      <c r="H5" s="48" t="s">
        <v>14</v>
      </c>
      <c r="I5" s="48" t="s">
        <v>15</v>
      </c>
      <c r="J5" s="34" t="s">
        <v>14</v>
      </c>
      <c r="K5" s="34" t="s">
        <v>15</v>
      </c>
      <c r="L5" s="51"/>
      <c r="M5" s="38"/>
      <c r="N5" s="53"/>
      <c r="O5" s="40"/>
    </row>
    <row r="6" spans="1:20" s="1" customFormat="1" ht="45" x14ac:dyDescent="0.25">
      <c r="A6" s="1">
        <v>2000</v>
      </c>
      <c r="D6" s="2" t="s">
        <v>61</v>
      </c>
      <c r="E6" s="11">
        <f>SUM(B24:C24)</f>
        <v>140000</v>
      </c>
      <c r="F6" s="13">
        <f>$B$24</f>
        <v>140000</v>
      </c>
      <c r="G6" s="13">
        <f>$C$24</f>
        <v>0</v>
      </c>
      <c r="H6" s="47">
        <f>$B$24</f>
        <v>140000</v>
      </c>
      <c r="I6" s="47">
        <f>$C$24</f>
        <v>0</v>
      </c>
      <c r="J6" s="35">
        <f>$B$24</f>
        <v>140000</v>
      </c>
      <c r="K6" s="35">
        <f>$C$24</f>
        <v>0</v>
      </c>
      <c r="L6" s="47">
        <f>SUM(H6:I6)</f>
        <v>140000</v>
      </c>
      <c r="M6" s="35">
        <f>SUM(J6:K6)</f>
        <v>140000</v>
      </c>
      <c r="N6" s="54"/>
      <c r="O6" s="41"/>
      <c r="T6" s="17"/>
    </row>
    <row r="7" spans="1:20" s="1" customFormat="1" x14ac:dyDescent="0.25">
      <c r="A7" s="1">
        <v>4000</v>
      </c>
      <c r="B7" s="5">
        <v>0.03</v>
      </c>
      <c r="C7" s="1" t="s">
        <v>4</v>
      </c>
      <c r="D7" s="2" t="s">
        <v>1</v>
      </c>
      <c r="E7" s="11">
        <f>SUM(F7:G7)</f>
        <v>-4000</v>
      </c>
      <c r="F7" s="13">
        <f>IF(B23=$Q$2,MAX(-B24,MIN(-$A6,MAX(-$A7,-$B7*B24))),0)</f>
        <v>-4000</v>
      </c>
      <c r="G7" s="13">
        <f>IF(C23=$Q$2,MAX(-C24,MIN(-$A6,MAX(-$A7,-$B7*C24))),0)</f>
        <v>0</v>
      </c>
      <c r="H7" s="47">
        <f>IF(B23=$Q$2,MAX(-B24,MIN(-$A6,MAX(-$A7,-$B7*B24))),0)</f>
        <v>-4000</v>
      </c>
      <c r="I7" s="47">
        <f>IF(C23=$Q$2,MAX(-C24,MIN(-$A6,MAX(-$A7,-$B7*C24))),0)</f>
        <v>0</v>
      </c>
      <c r="J7" s="35">
        <f>IF(B23=$Q$2,MAX(-B24,MIN(-$A6,MAX(-$A7,-$B7*B24))),0)</f>
        <v>-4000</v>
      </c>
      <c r="K7" s="35">
        <f>IF(C23=$Q$2,MAX(-C24,MIN(-$A6,MAX(-$A7,-$B7*C24))),0)</f>
        <v>0</v>
      </c>
      <c r="L7" s="47">
        <f>SUM(H7:I7)</f>
        <v>-4000</v>
      </c>
      <c r="M7" s="35">
        <f>SUM(J7:K7)</f>
        <v>-4000</v>
      </c>
      <c r="N7" s="54"/>
      <c r="O7" s="41"/>
      <c r="Q7" s="23"/>
    </row>
    <row r="8" spans="1:20" s="1" customFormat="1" x14ac:dyDescent="0.25">
      <c r="A8" s="1">
        <v>3700</v>
      </c>
      <c r="B8" s="1">
        <v>1800</v>
      </c>
      <c r="C8" s="1" t="s">
        <v>16</v>
      </c>
      <c r="D8" s="2" t="s">
        <v>58</v>
      </c>
      <c r="E8" s="11">
        <f>-$A8</f>
        <v>-3700</v>
      </c>
      <c r="F8" s="13">
        <f t="shared" ref="F8:K8" si="0">-$B8</f>
        <v>-1800</v>
      </c>
      <c r="G8" s="13">
        <f t="shared" si="0"/>
        <v>-1800</v>
      </c>
      <c r="H8" s="47">
        <f t="shared" si="0"/>
        <v>-1800</v>
      </c>
      <c r="I8" s="47">
        <f t="shared" si="0"/>
        <v>-1800</v>
      </c>
      <c r="J8" s="35">
        <f t="shared" si="0"/>
        <v>-1800</v>
      </c>
      <c r="K8" s="35">
        <f t="shared" si="0"/>
        <v>-1800</v>
      </c>
      <c r="L8" s="47">
        <f>-$A8</f>
        <v>-3700</v>
      </c>
      <c r="M8" s="35">
        <f>-$A8</f>
        <v>-3700</v>
      </c>
      <c r="N8" s="54"/>
      <c r="O8" s="41"/>
      <c r="Q8" s="23"/>
    </row>
    <row r="9" spans="1:20" s="1" customFormat="1" x14ac:dyDescent="0.25">
      <c r="A9" s="1">
        <v>6800</v>
      </c>
      <c r="B9" s="1">
        <v>12000</v>
      </c>
      <c r="C9" s="1" t="s">
        <v>17</v>
      </c>
      <c r="D9" s="1" t="s">
        <v>0</v>
      </c>
      <c r="E9" s="11">
        <f>-$F$1*$A9</f>
        <v>-13600</v>
      </c>
      <c r="F9" s="13">
        <f>-($F$1/2)*$B9</f>
        <v>-12000</v>
      </c>
      <c r="G9" s="13">
        <f>-($F$1/2)*$B9</f>
        <v>-12000</v>
      </c>
      <c r="H9" s="47">
        <f>-($F$1/2)*$A9</f>
        <v>-6800</v>
      </c>
      <c r="I9" s="47">
        <f>-($F$1/2)*$A9</f>
        <v>-6800</v>
      </c>
      <c r="J9" s="35">
        <f>-($F$1/2)*$A9</f>
        <v>-6800</v>
      </c>
      <c r="K9" s="35">
        <f>-($F$1/2)*$A9</f>
        <v>-6800</v>
      </c>
      <c r="L9" s="47">
        <f>-$F$1*$A9</f>
        <v>-13600</v>
      </c>
      <c r="M9" s="35">
        <f>-$F$1*$A9</f>
        <v>-13600</v>
      </c>
      <c r="N9" s="54"/>
      <c r="O9" s="41"/>
      <c r="Q9" s="23"/>
    </row>
    <row r="10" spans="1:20" s="1" customFormat="1" x14ac:dyDescent="0.25">
      <c r="B10" s="1">
        <v>700</v>
      </c>
      <c r="C10" s="1" t="s">
        <v>18</v>
      </c>
      <c r="D10" s="2" t="s">
        <v>3</v>
      </c>
      <c r="E10" s="11">
        <f>-$F$1*$B10</f>
        <v>-1400</v>
      </c>
      <c r="F10" s="13">
        <f>-($F$1/2)*$B10</f>
        <v>-700</v>
      </c>
      <c r="G10" s="13">
        <f>-($F$1/2)*$B10</f>
        <v>-700</v>
      </c>
      <c r="H10" s="47">
        <f>-($F$1/2)*$B10</f>
        <v>-700</v>
      </c>
      <c r="I10" s="47">
        <f>-($F$1/2)*$B10</f>
        <v>-700</v>
      </c>
      <c r="J10" s="35">
        <f>-($F$1/2)*$B10</f>
        <v>-700</v>
      </c>
      <c r="K10" s="35">
        <f>-($F$1/2)*$B10</f>
        <v>-700</v>
      </c>
      <c r="L10" s="47">
        <f>-$F$1*$B10</f>
        <v>-1400</v>
      </c>
      <c r="M10" s="35">
        <f>-$F$1*$B10</f>
        <v>-1400</v>
      </c>
      <c r="N10" s="54"/>
      <c r="O10" s="41"/>
      <c r="Q10" s="23"/>
    </row>
    <row r="11" spans="1:20" s="1" customFormat="1" x14ac:dyDescent="0.25">
      <c r="A11" s="1">
        <v>14100</v>
      </c>
      <c r="B11" s="1">
        <v>8600</v>
      </c>
      <c r="C11" s="1" t="s">
        <v>19</v>
      </c>
      <c r="D11" s="1" t="s">
        <v>6</v>
      </c>
      <c r="E11" s="11">
        <f>IF(AND(B23=$Q$2,C23=$Q$2),-MIN((C24+G7),MAX($B11,MIN((C24+G7)/2,$A11))),0)</f>
        <v>0</v>
      </c>
      <c r="F11" s="13"/>
      <c r="G11" s="13"/>
      <c r="H11" s="47"/>
      <c r="I11" s="47"/>
      <c r="J11" s="35"/>
      <c r="K11" s="35"/>
      <c r="L11" s="47">
        <f>-IF(AND(B23=$Q$2,C23=$Q$2),MAX(B11,MIN((C24+I7),MAX($B11,MIN((C24+I7)/2,$A11)))),0)</f>
        <v>-8600</v>
      </c>
      <c r="M11" s="35">
        <v>0</v>
      </c>
      <c r="N11" s="54"/>
      <c r="O11" s="41"/>
      <c r="Q11" s="23"/>
    </row>
    <row r="12" spans="1:20" s="1" customFormat="1" x14ac:dyDescent="0.25">
      <c r="B12" s="1">
        <v>8600</v>
      </c>
      <c r="D12" s="1" t="s">
        <v>75</v>
      </c>
      <c r="E12" s="11"/>
      <c r="F12" s="13"/>
      <c r="G12" s="13"/>
      <c r="H12" s="47"/>
      <c r="I12" s="47"/>
      <c r="J12" s="35"/>
      <c r="K12" s="35"/>
      <c r="L12" s="47">
        <f>-IF(AND(B23=$Q$2,C23=$Q$2),MAX(0,B12-(-L11)),IF(OR(AND(B23=$Q$2,C23&lt;&gt;$Q$2),AND(B23&lt;&gt;$Q$2,C23=$Q$2)),B12,0))</f>
        <v>0</v>
      </c>
      <c r="M12" s="35">
        <v>0</v>
      </c>
      <c r="N12" s="54"/>
      <c r="O12" s="41"/>
      <c r="Q12" s="23"/>
    </row>
    <row r="13" spans="1:20" s="1" customFormat="1" x14ac:dyDescent="0.25">
      <c r="B13" s="1">
        <v>2800</v>
      </c>
      <c r="C13" s="1" t="s">
        <v>20</v>
      </c>
      <c r="D13" s="1" t="s">
        <v>7</v>
      </c>
      <c r="E13" s="11">
        <f>-$B13</f>
        <v>-2800</v>
      </c>
      <c r="F13" s="13"/>
      <c r="G13" s="13"/>
      <c r="H13" s="47"/>
      <c r="I13" s="47"/>
      <c r="J13" s="35"/>
      <c r="K13" s="35"/>
      <c r="L13" s="47">
        <f>-$B13</f>
        <v>-2800</v>
      </c>
      <c r="M13" s="35">
        <v>0</v>
      </c>
      <c r="N13" s="54"/>
      <c r="O13" s="41"/>
      <c r="Q13" s="23"/>
    </row>
    <row r="14" spans="1:20" s="1" customFormat="1" x14ac:dyDescent="0.25">
      <c r="D14" s="1" t="s">
        <v>2</v>
      </c>
      <c r="E14" s="11">
        <f t="shared" ref="E14:M14" si="1">MAX(0,SUM(E6:E13))</f>
        <v>114500</v>
      </c>
      <c r="F14" s="13">
        <f t="shared" si="1"/>
        <v>121500</v>
      </c>
      <c r="G14" s="13">
        <f t="shared" si="1"/>
        <v>0</v>
      </c>
      <c r="H14" s="47">
        <f t="shared" si="1"/>
        <v>126700</v>
      </c>
      <c r="I14" s="47">
        <f t="shared" si="1"/>
        <v>0</v>
      </c>
      <c r="J14" s="35">
        <f t="shared" si="1"/>
        <v>126700</v>
      </c>
      <c r="K14" s="35">
        <f t="shared" si="1"/>
        <v>0</v>
      </c>
      <c r="L14" s="47">
        <f t="shared" si="1"/>
        <v>105900</v>
      </c>
      <c r="M14" s="35">
        <f t="shared" si="1"/>
        <v>117300</v>
      </c>
      <c r="N14" s="54"/>
      <c r="O14" s="41"/>
    </row>
    <row r="15" spans="1:20" s="1" customFormat="1" x14ac:dyDescent="0.25">
      <c r="C15" s="1" t="s">
        <v>60</v>
      </c>
      <c r="D15" s="3" t="s">
        <v>5</v>
      </c>
      <c r="E15" s="12">
        <f>E14*(IF(E14=0,0,
IF(E14&lt;=Tarife!$B$27,0,
IF(E14&lt;=Tarife!$B$28,Tarife!$C$27+Tarife!$E$27*(E14-Tarife!$B$27),
IF(E14&lt;=Tarife!$B$29,Tarife!$C$28+Tarife!$E$28*(E14-Tarife!$B$28),
IF(E14&lt;=Tarife!$B$30,Tarife!$C$29+Tarife!$E$29*(E14-Tarife!$B$29),
IF(E14&lt;=Tarife!$B$31,Tarife!$C$30+Tarife!$E$30*(E14-Tarife!$B$30),
IF(E14&lt;=Tarife!$B$32,Tarife!$C$31+Tarife!$E$31*(E14-Tarife!$B$31),
IF(E14&lt;=Tarife!$B$33,Tarife!$C$32+Tarife!$E$32*(E14-Tarife!$B$32),
IF(E14&lt;=Tarife!$B$34,Tarife!$C$33+Tarife!$E$33*(E14-Tarife!$B$33),
IF(E14&lt;=Tarife!$B$35,Tarife!$C$34+Tarife!$E$34*(E14-Tarife!$B$34),
IF(E14&lt;=Tarife!$B$36,Tarife!$C$35+Tarife!$E$35*(E14-Tarife!$B$35),
IF(E14&lt;=Tarife!$B$37,Tarife!$C$36+Tarife!$E$36*(E14-Tarife!$B$36),
IF(E14&lt;=Tarife!$B$38,Tarife!$C$37+Tarife!$E$37*(E14-Tarife!$B$37),
IF(E14&lt;=Tarife!$B$39,Tarife!$C$38+Tarife!$E$38*(E14-Tarife!$B$38),
IF(E14&lt;=Tarife!$B$40,Tarife!$C$39+Tarife!$E$39*(E14-Tarife!$B$39),
IF(E14&lt;=10^10,Tarife!$C$41+Tarife!$E$41*(E14-Tarife!$B$41)
)))))))))))))))/E14))</f>
        <v>2599</v>
      </c>
      <c r="F15" s="14">
        <f>F14*IF(F14=0,0,IF(F14&lt;=Tarife!$B$2,0,
IF(F14&lt;=Tarife!$B$3,0+Tarife!$E$2*(F14-Tarife!$B$2),
IF(F14&lt;=Tarife!$B$4,Tarife!$C$3+Tarife!$E$3*(F14-Tarife!$B$3),
IF(F14&lt;=Tarife!$B$5,Tarife!$C$4+Tarife!$E$4*(F14-Tarife!$B$4),
IF(F14&lt;=Tarife!$B$6,Tarife!$C$5+Tarife!$E$5*(F14-Tarife!$B$5),
IF(F14&lt;=Tarife!$B$7,Tarife!$C$6+Tarife!$E$6*(F14-Tarife!$B$6),
IF(F14&lt;=Tarife!$B$8,Tarife!$C$7+Tarife!$E$7*(F14-Tarife!$B$7),
IF(F14&lt;=Tarife!$B$9,Tarife!$C$8+Tarife!$E$8*(F14-Tarife!$B$8),
IF(F14&lt;=Tarife!$B$10,Tarife!$C$9+Tarife!$E$9*(F14-Tarife!$B$9),
IF(F14&lt;=Tarife!$B$11,Tarife!$C$10+Tarife!$E$10*(F14-Tarife!$B$10),
IF(F14&lt;=10^10,Tarife!$C$11+Tarife!$E$11*(F14-Tarife!$B$11)
)))))))))))/F14)</f>
        <v>4625</v>
      </c>
      <c r="G15" s="14">
        <f>G14*IF(G14=0,0,IF(G14&lt;=Tarife!$B$2,0,
IF(G14&lt;=Tarife!$B$3,0+Tarife!$E$2*(G14-Tarife!$B$2),
IF(G14&lt;=Tarife!$B$4,Tarife!$C$3+Tarife!$E$3*(G14-Tarife!$B$3),
IF(G14&lt;=Tarife!$B$5,Tarife!$C$4+Tarife!$E$4*(G14-Tarife!$B$4),
IF(G14&lt;=Tarife!$B$6,Tarife!$C$5+Tarife!$E$5*(G14-Tarife!$B$5),
IF(G14&lt;=Tarife!$B$7,Tarife!$C$6+Tarife!$E$6*(G14-Tarife!$B$6),
IF(G14&lt;=Tarife!$B$8,Tarife!$C$7+Tarife!$E$7*(G14-Tarife!$B$7),
IF(G14&lt;=Tarife!$B$9,Tarife!$C$8+Tarife!$E$8*(G14-Tarife!$B$8),
IF(G14&lt;=Tarife!$B$10,Tarife!$C$9+Tarife!$E$9*(G14-Tarife!$B$9),
IF(G14&lt;=Tarife!$B$11,Tarife!$C$10+Tarife!$E$10*(G14-Tarife!$B$10),
IF(G14&lt;=10^10,Tarife!$C$11+Tarife!$E$11*(G14-Tarife!$B$11)
)))))))))))/G14)</f>
        <v>0</v>
      </c>
      <c r="H15" s="49">
        <f>IF($F$1=0,R15,S15)</f>
        <v>3392</v>
      </c>
      <c r="I15" s="49">
        <f>I14*(IF(I14=0,0,
IF(I14&lt;=Tarife!$B$16,0,
IF(I14&lt;=Tarife!$B$17,Tarife!$C$16+Tarife!$E$16*(I14-Tarife!$B$16),
IF(I14&lt;=Tarife!$B$18,Tarife!$C$17+Tarife!$E$17*(I14-Tarife!$B$17),
IF(I14&lt;=Tarife!$B$19,Tarife!$C$18+Tarife!$E$18*(I14-Tarife!$B$18),
IF(I14&lt;=Tarife!$B$20,Tarife!$C$19+Tarife!$E$19*(I14-Tarife!$B$19),
IF(I14&lt;=Tarife!$B$21,Tarife!$C$20+Tarife!$E$20*(I14-Tarife!$B$20),
IF(I14&lt;=Tarife!$B$22,Tarife!$C$21+Tarife!$E$21*(I14-Tarife!$B$21),
IF(I14&lt;=Tarife!$B$23,Tarife!$C$22+Tarife!$E$22*(I14-Tarife!$B$22),
IF(I14&lt;=Tarife!$B$24,Tarife!$C$23+Tarife!$E$23*(I14-Tarife!$B$23),
IF(I14&lt;=Tarife!$B$26,Tarife!$C$24+Tarife!$E$24*(I14-Tarife!$B$24),
IF(I14&lt;=10^10,Tarife!$C$26+Tarife!$E$26*(I14-Tarife!$B$26)
))))))))))/I14)))</f>
        <v>0</v>
      </c>
      <c r="J15" s="36">
        <f>J14*(IF(J14=0,0,
IF(J14&lt;=Tarife!$B$16,0,
IF(J14&lt;=Tarife!$B$17,Tarife!$C$16+Tarife!$E$16*(J14-Tarife!$B$16),
IF(J14&lt;=Tarife!$B$18,Tarife!$C$17+Tarife!$E$17*(J14-Tarife!$B$17),
IF(J14&lt;=Tarife!$B$19,Tarife!$C$18+Tarife!$E$18*(J14-Tarife!$B$18),
IF(J14&lt;=Tarife!$B$20,Tarife!$C$19+Tarife!$E$19*(J14-Tarife!$B$19),
IF(J14&lt;=Tarife!$B$21,Tarife!$C$20+Tarife!$E$20*(J14-Tarife!$B$20),
IF(J14&lt;=Tarife!$B$22,Tarife!$C$21+Tarife!$E$21*(J14-Tarife!$B$21),
IF(J14&lt;=Tarife!$B$23,Tarife!$C$22+Tarife!$E$22*(J14-Tarife!$B$22),
IF(J14&lt;=Tarife!$B$24,Tarife!$C$23+Tarife!$E$23*(J14-Tarife!$B$23),
IF(J14&lt;=Tarife!$B$26,Tarife!$C$24+Tarife!$E$24*(J14-Tarife!$B$24),
IF(J14&lt;=10^10,Tarife!$C$26+Tarife!$E$26*(J14-Tarife!$B$26)
))))))))))/J14)))</f>
        <v>4838.1499999999996</v>
      </c>
      <c r="K15" s="36">
        <f>K14*(IF(K14=0,0,
IF(K14&lt;=Tarife!$B$16,0,
IF(K14&lt;=Tarife!$B$17,Tarife!$C$16+Tarife!$E$16*(K14-Tarife!$B$16),
IF(K14&lt;=Tarife!$B$18,Tarife!$C$17+Tarife!$E$17*(K14-Tarife!$B$17),
IF(K14&lt;=Tarife!$B$19,Tarife!$C$18+Tarife!$E$18*(K14-Tarife!$B$18),
IF(K14&lt;=Tarife!$B$20,Tarife!$C$19+Tarife!$E$19*(K14-Tarife!$B$19),
IF(K14&lt;=Tarife!$B$21,Tarife!$C$20+Tarife!$E$20*(K14-Tarife!$B$20),
IF(K14&lt;=Tarife!$B$22,Tarife!$C$21+Tarife!$E$21*(K14-Tarife!$B$21),
IF(K14&lt;=Tarife!$B$23,Tarife!$C$22+Tarife!$E$22*(K14-Tarife!$B$22),
IF(K14&lt;=Tarife!$B$24,Tarife!$C$23+Tarife!$E$23*(K14-Tarife!$B$23),
IF(K14&lt;=Tarife!$B$26,Tarife!$C$24+Tarife!$E$24*(K14-Tarife!$B$24),
IF(K14&lt;=10^10,Tarife!$C$26+Tarife!$E$26*(K14-Tarife!$B$26)
))))))))))/K14)))</f>
        <v>0</v>
      </c>
      <c r="L15" s="49">
        <f>L14*(IF(L14=0,0,
IF(L14&lt;=Tarife!$B$27,0,
IF(L14&lt;=Tarife!$B$28,Tarife!$C$27+Tarife!$E$27*(L14-Tarife!$B$27),
IF(L14&lt;=Tarife!$B$29,Tarife!$C$28+Tarife!$E$28*(L14-Tarife!$B$28),
IF(L14&lt;=Tarife!$B$30,Tarife!$C$29+Tarife!$E$29*(L14-Tarife!$B$29),
IF(L14&lt;=Tarife!$B$31,Tarife!$C$30+Tarife!$E$30*(L14-Tarife!$B$30),
IF(L14&lt;=Tarife!$B$32,Tarife!$C$31+Tarife!$E$31*(L14-Tarife!$B$31),
IF(L14&lt;=Tarife!$B$33,Tarife!$C$32+Tarife!$E$32*(L14-Tarife!$B$32),
IF(L14&lt;=Tarife!$B$34,Tarife!$C$33+Tarife!$E$33*(L14-Tarife!$B$33),
IF(L14&lt;=Tarife!$B$35,Tarife!$C$34+Tarife!$E$34*(L14-Tarife!$B$34),
IF(L14&lt;=Tarife!$B$36,Tarife!$C$35+Tarife!$E$35*(L14-Tarife!$B$35),
IF(L14&lt;=Tarife!$B$37,Tarife!$C$36+Tarife!$E$36*(L14-Tarife!$B$36),
IF(L14&lt;=Tarife!$B$38,Tarife!$C$37+Tarife!$E$37*(L14-Tarife!$B$37),
IF(L14&lt;=Tarife!$B$39,Tarife!$C$38+Tarife!$E$38*(L14-Tarife!$B$38),
IF(L14&lt;=Tarife!$B$40,Tarife!$C$39+Tarife!$E$39*(L14-Tarife!$B$39),
IF(L14&lt;=10^10,Tarife!$C$41+Tarife!$E$41*(L14-Tarife!$B$41)
)))))))))))))))/L14))</f>
        <v>2111</v>
      </c>
      <c r="M15" s="37">
        <f>M14*(IF(M14=0,0,
IF(M14&lt;=Tarife!$B$27,0,
IF(M14&lt;=Tarife!$B$28,Tarife!$C$27+Tarife!$E$27*(M14-Tarife!$B$27),
IF(M14&lt;=Tarife!$B$29,Tarife!$C$28+Tarife!$E$28*(M14-Tarife!$B$28),
IF(M14&lt;=Tarife!$B$30,Tarife!$C$29+Tarife!$E$29*(M14-Tarife!$B$29),
IF(M14&lt;=Tarife!$B$31,Tarife!$C$30+Tarife!$E$30*(M14-Tarife!$B$30),
IF(M14&lt;=Tarife!$B$32,Tarife!$C$31+Tarife!$E$31*(M14-Tarife!$B$31),
IF(M14&lt;=Tarife!$B$33,Tarife!$C$32+Tarife!$E$32*(M14-Tarife!$B$32),
IF(M14&lt;=Tarife!$B$34,Tarife!$C$33+Tarife!$E$33*(M14-Tarife!$B$33),
IF(M14&lt;=Tarife!$B$35,Tarife!$C$34+Tarife!$E$34*(M14-Tarife!$B$34),
IF(M14&lt;=Tarife!$B$36,Tarife!$C$35+Tarife!$E$35*(M14-Tarife!$B$35),
IF(M14&lt;=Tarife!$B$37,Tarife!$C$36+Tarife!$E$36*(M14-Tarife!$B$36),
IF(M14&lt;=Tarife!$B$38,Tarife!$C$37+Tarife!$E$37*(M14-Tarife!$B$37),
IF(M14&lt;=Tarife!$B$39,Tarife!$C$38+Tarife!$E$38*(M14-Tarife!$B$38),
IF(M14&lt;=Tarife!$B$40,Tarife!$C$39+Tarife!$E$39*(M14-Tarife!$B$39),
IF(M14&lt;=10^10,Tarife!$C$41+Tarife!$E$41*(M14-Tarife!$B$41)
)))))))))))))))/M14))</f>
        <v>2767</v>
      </c>
      <c r="N15" s="59" t="s">
        <v>72</v>
      </c>
      <c r="O15" s="59"/>
      <c r="R15" s="1">
        <f>H14*(IF(H14=0,0,
IF(H14&lt;=Tarife!$B$16,0,
IF(H14&lt;=Tarife!$B$17,Tarife!$C$16+Tarife!$E$16*(H14-Tarife!$B$16),
IF(H14&lt;=Tarife!$B$18,Tarife!$C$17+Tarife!$E$17*(H14-Tarife!$B$17),
IF(H14&lt;=Tarife!$B$19,Tarife!$C$18+Tarife!$E$18*(H14-Tarife!$B$18),
IF(H14&lt;=Tarife!$B$20,Tarife!$C$19+Tarife!$E$19*(H14-Tarife!$B$19),
IF(H14&lt;=Tarife!$B$21,Tarife!$C$20+Tarife!$E$20*(H14-Tarife!$B$20),
IF(H14&lt;=Tarife!$B$22,Tarife!$C$21+Tarife!$E$21*(H14-Tarife!$B$21),
IF(H14&lt;=Tarife!$B$23,Tarife!$C$22+Tarife!$E$22*(H14-Tarife!$B$22),
IF(H14&lt;=Tarife!$B$24,Tarife!$C$23+Tarife!$E$23*(H14-Tarife!$B$23),
IF(H14&lt;=Tarife!$B$26,Tarife!$C$24+Tarife!$E$24*(H14-Tarife!$B$24),
IF(H14&lt;=10^10,Tarife!$C$26+Tarife!$E$26*(H14-Tarife!$B$26)
))))))))))/H14)))</f>
        <v>4838.1499999999996</v>
      </c>
      <c r="S15" s="1">
        <f>H14*(IF(H14=0,0,
IF(H14&lt;=Tarife!$B$27,0,
IF(H14&lt;=Tarife!$B$28,Tarife!$C$27+Tarife!$E$27*(H14-Tarife!$B$27),
IF(H14&lt;=Tarife!$B$29,Tarife!$C$28+Tarife!$E$28*(H14-Tarife!$B$28),
IF(H14&lt;=Tarife!$B$30,Tarife!$C$29+Tarife!$E$29*(H14-Tarife!$B$29),
IF(H14&lt;=Tarife!$B$31,Tarife!$C$30+Tarife!$E$30*(H14-Tarife!$B$30),
IF(H14&lt;=Tarife!$B$32,Tarife!$C$31+Tarife!$E$31*(H14-Tarife!$B$31),
IF(H14&lt;=Tarife!$B$33,Tarife!$C$32+Tarife!$E$32*(H14-Tarife!$B$32),
IF(H14&lt;=Tarife!$B$34,Tarife!$C$33+Tarife!$E$33*(H14-Tarife!$B$33),
IF(H14&lt;=Tarife!$B$35,Tarife!$C$34+Tarife!$E$34*(H14-Tarife!$B$34),
IF(H14&lt;=Tarife!$B$36,Tarife!$C$35+Tarife!$E$35*(H14-Tarife!$B$35),
IF(H14&lt;=Tarife!$B$37,Tarife!$C$36+Tarife!$E$36*(H14-Tarife!$B$36),
IF(H14&lt;=Tarife!$B$38,Tarife!$C$37+Tarife!$E$37*(H14-Tarife!$B$37),
IF(H14&lt;=Tarife!$B$39,Tarife!$C$38+Tarife!$E$38*(H14-Tarife!$B$38),
IF(H14&lt;=Tarife!$B$41,Tarife!$C$39+Tarife!$E$39*(H14-Tarife!$B$39),
IF(H14&lt;=10^10,Tarife!$C$41+Tarife!$E$41*(H14-Tarife!$B$41)
)))))))))))))))/H14))</f>
        <v>3392</v>
      </c>
    </row>
    <row r="16" spans="1:20" s="1" customFormat="1" x14ac:dyDescent="0.25">
      <c r="A16" s="1">
        <v>263</v>
      </c>
      <c r="B16" s="1">
        <v>259</v>
      </c>
      <c r="C16" s="1" t="s">
        <v>21</v>
      </c>
      <c r="D16" s="1" t="s">
        <v>59</v>
      </c>
      <c r="E16" s="11">
        <f>-$F$1*$A16</f>
        <v>-526</v>
      </c>
      <c r="F16" s="13">
        <f>-($F$1/2)*$B16</f>
        <v>-259</v>
      </c>
      <c r="G16" s="13">
        <f>-($F$1/2)*$B16</f>
        <v>-259</v>
      </c>
      <c r="H16" s="47">
        <f>-($F$1)*$A16</f>
        <v>-526</v>
      </c>
      <c r="I16" s="47">
        <v>0</v>
      </c>
      <c r="J16" s="35">
        <f>-($F$1/2)*$A16</f>
        <v>-263</v>
      </c>
      <c r="K16" s="35">
        <f>-($F$1/2)*$A16</f>
        <v>-263</v>
      </c>
      <c r="L16" s="47">
        <f>-$F$1*$A16</f>
        <v>-526</v>
      </c>
      <c r="M16" s="35">
        <f>-$F$1*$A16</f>
        <v>-526</v>
      </c>
      <c r="N16" s="55" t="s">
        <v>71</v>
      </c>
      <c r="O16" s="42" t="s">
        <v>70</v>
      </c>
    </row>
    <row r="17" spans="2:15" s="1" customFormat="1" x14ac:dyDescent="0.25">
      <c r="D17" s="3" t="s">
        <v>53</v>
      </c>
      <c r="E17" s="24">
        <f>IF(MAX(0,E15+E16)&lt;25,0,MAX(0,E15+E16))</f>
        <v>2073</v>
      </c>
      <c r="F17" s="25">
        <f t="shared" ref="F17:K17" si="2">IF(MAX(0,SUM(F15:F16))&lt;25,0,MAX(0,SUM(F15:F16)))</f>
        <v>4366</v>
      </c>
      <c r="G17" s="25">
        <f t="shared" si="2"/>
        <v>0</v>
      </c>
      <c r="H17" s="50">
        <f t="shared" si="2"/>
        <v>2866</v>
      </c>
      <c r="I17" s="50">
        <f t="shared" si="2"/>
        <v>0</v>
      </c>
      <c r="J17" s="37">
        <f t="shared" si="2"/>
        <v>4575.1499999999996</v>
      </c>
      <c r="K17" s="37">
        <f t="shared" si="2"/>
        <v>0</v>
      </c>
      <c r="L17" s="50">
        <f>IF(MAX(0,L15+L16)&lt;25,0,MAX(0,L15+L16))</f>
        <v>1585</v>
      </c>
      <c r="M17" s="37">
        <f>IF(MAX(0,SUM(M15:M16))&lt;25,0,MAX(0,SUM(M15:M16)))</f>
        <v>2241</v>
      </c>
      <c r="N17" s="54"/>
      <c r="O17" s="43"/>
    </row>
    <row r="18" spans="2:15" s="1" customFormat="1" x14ac:dyDescent="0.25">
      <c r="D18" s="2"/>
      <c r="E18" s="26"/>
      <c r="F18" s="70" t="s">
        <v>54</v>
      </c>
      <c r="G18" s="70"/>
      <c r="H18" s="62" t="s">
        <v>54</v>
      </c>
      <c r="I18" s="62"/>
      <c r="J18" s="64" t="s">
        <v>54</v>
      </c>
      <c r="K18" s="64"/>
      <c r="L18" s="51"/>
      <c r="M18" s="38"/>
      <c r="N18" s="56"/>
      <c r="O18" s="44"/>
    </row>
    <row r="19" spans="2:15" s="1" customFormat="1" x14ac:dyDescent="0.25">
      <c r="D19" s="4"/>
      <c r="E19" s="28"/>
      <c r="F19" s="69">
        <f>SUM(F17:G17)</f>
        <v>4366</v>
      </c>
      <c r="G19" s="69"/>
      <c r="H19" s="63">
        <f>SUM(H17:I17)</f>
        <v>2866</v>
      </c>
      <c r="I19" s="63"/>
      <c r="J19" s="65">
        <f>SUM(J17:K17)</f>
        <v>4575.1499999999996</v>
      </c>
      <c r="K19" s="65"/>
      <c r="L19" s="51"/>
      <c r="M19" s="38"/>
      <c r="N19" s="57">
        <f>MIN(H19,L17)</f>
        <v>1585</v>
      </c>
      <c r="O19" s="45">
        <f>MIN(J19,M17)</f>
        <v>2241</v>
      </c>
    </row>
    <row r="20" spans="2:15" x14ac:dyDescent="0.25">
      <c r="G20" s="27" t="s">
        <v>23</v>
      </c>
      <c r="N20" s="27" t="s">
        <v>23</v>
      </c>
      <c r="O20" s="27" t="s">
        <v>23</v>
      </c>
    </row>
    <row r="21" spans="2:15" x14ac:dyDescent="0.25">
      <c r="B21" s="32" t="s">
        <v>66</v>
      </c>
      <c r="C21" s="32"/>
      <c r="G21" s="29">
        <f>F19-$E17</f>
        <v>2293</v>
      </c>
      <c r="N21" s="29">
        <f>N19-$E17</f>
        <v>-488</v>
      </c>
      <c r="O21" s="29">
        <f>O19-$E17</f>
        <v>168</v>
      </c>
    </row>
    <row r="22" spans="2:15" x14ac:dyDescent="0.25">
      <c r="B22" s="1" t="s">
        <v>14</v>
      </c>
      <c r="C22" s="1" t="s">
        <v>15</v>
      </c>
    </row>
    <row r="23" spans="2:15" x14ac:dyDescent="0.25">
      <c r="B23" s="22" t="s">
        <v>65</v>
      </c>
      <c r="C23" s="22" t="s">
        <v>65</v>
      </c>
      <c r="D23" s="4" t="s">
        <v>22</v>
      </c>
    </row>
    <row r="24" spans="2:15" x14ac:dyDescent="0.25">
      <c r="B24" s="22">
        <v>140000</v>
      </c>
      <c r="C24" s="22">
        <v>0</v>
      </c>
      <c r="D24" s="23">
        <f>B24/E6</f>
        <v>1</v>
      </c>
      <c r="G24" s="8"/>
      <c r="H24" s="8"/>
      <c r="I24" s="8"/>
      <c r="J24" s="8"/>
      <c r="K24" s="8"/>
      <c r="N24" s="8"/>
      <c r="O24" s="8"/>
    </row>
  </sheetData>
  <mergeCells count="13">
    <mergeCell ref="H19:I19"/>
    <mergeCell ref="J18:K18"/>
    <mergeCell ref="J19:K19"/>
    <mergeCell ref="E2:G2"/>
    <mergeCell ref="A3:B4"/>
    <mergeCell ref="F3:G3"/>
    <mergeCell ref="F19:G19"/>
    <mergeCell ref="F18:G18"/>
    <mergeCell ref="N3:O3"/>
    <mergeCell ref="N15:O15"/>
    <mergeCell ref="H3:I3"/>
    <mergeCell ref="J3:K3"/>
    <mergeCell ref="H18:I18"/>
  </mergeCells>
  <dataValidations count="1">
    <dataValidation type="list" allowBlank="1" showInputMessage="1" showErrorMessage="1" sqref="B23:C23" xr:uid="{17599766-D701-4DD6-9A59-2235A0C91539}">
      <formula1>$Q$2:$Q$3</formula1>
    </dataValidation>
  </dataValidations>
  <pageMargins left="0.7" right="0.7" top="0.78740157499999996" bottom="0.78740157499999996" header="0.3" footer="0.3"/>
  <pageSetup paperSize="271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A95B-CB9F-4EDD-83C9-0124A96FF5F1}">
  <dimension ref="A1:M41"/>
  <sheetViews>
    <sheetView workbookViewId="0">
      <selection sqref="A1:E11"/>
    </sheetView>
  </sheetViews>
  <sheetFormatPr baseColWidth="10" defaultColWidth="11.5703125" defaultRowHeight="15" x14ac:dyDescent="0.25"/>
  <cols>
    <col min="1" max="1" width="19.42578125" customWidth="1"/>
  </cols>
  <sheetData>
    <row r="1" spans="1:13" x14ac:dyDescent="0.25">
      <c r="A1" t="s">
        <v>12</v>
      </c>
      <c r="D1" s="20" t="s">
        <v>24</v>
      </c>
      <c r="E1" s="20">
        <f>M2/M3</f>
        <v>1.0005871990604815</v>
      </c>
      <c r="G1" t="s">
        <v>12</v>
      </c>
      <c r="L1" s="20" t="s">
        <v>55</v>
      </c>
      <c r="M1" s="20"/>
    </row>
    <row r="2" spans="1:13" x14ac:dyDescent="0.25">
      <c r="A2" t="s">
        <v>10</v>
      </c>
      <c r="B2" s="6">
        <f>ROUND(H2*$E$1,-2)</f>
        <v>20000</v>
      </c>
      <c r="C2" s="7">
        <v>0</v>
      </c>
      <c r="D2" s="1"/>
      <c r="E2">
        <v>7.0000000000000001E-3</v>
      </c>
      <c r="G2" t="s">
        <v>10</v>
      </c>
      <c r="H2" s="6">
        <v>20000</v>
      </c>
      <c r="I2" s="7">
        <v>0</v>
      </c>
      <c r="J2" s="1"/>
      <c r="L2" s="20" t="s">
        <v>56</v>
      </c>
      <c r="M2" s="20">
        <v>170.4</v>
      </c>
    </row>
    <row r="3" spans="1:13" x14ac:dyDescent="0.25">
      <c r="A3" t="s">
        <v>11</v>
      </c>
      <c r="B3" s="6">
        <f>ROUND(H3*$E$1,-2)</f>
        <v>34300</v>
      </c>
      <c r="C3" s="7">
        <f t="shared" ref="C3:C7" si="0">C2+D3*E2</f>
        <v>100.10000000000001</v>
      </c>
      <c r="D3" s="7">
        <f>B3-B2</f>
        <v>14300</v>
      </c>
      <c r="E3">
        <v>8.9999999999999993E-3</v>
      </c>
      <c r="G3" t="s">
        <v>11</v>
      </c>
      <c r="H3" s="6">
        <v>34300</v>
      </c>
      <c r="I3" s="7">
        <v>100.1</v>
      </c>
      <c r="J3" s="7">
        <f>H3-H2</f>
        <v>14300</v>
      </c>
      <c r="L3" s="20" t="s">
        <v>57</v>
      </c>
      <c r="M3" s="20">
        <v>170.3</v>
      </c>
    </row>
    <row r="4" spans="1:13" x14ac:dyDescent="0.25">
      <c r="A4" t="s">
        <v>11</v>
      </c>
      <c r="B4" s="6">
        <f t="shared" ref="B4:B9" si="1">ROUND(H4*$E$1,-2)</f>
        <v>44800</v>
      </c>
      <c r="C4" s="7">
        <f t="shared" si="0"/>
        <v>194.6</v>
      </c>
      <c r="D4" s="7">
        <f t="shared" ref="D4:D10" si="2">B4-B3</f>
        <v>10500</v>
      </c>
      <c r="E4">
        <v>0.02</v>
      </c>
      <c r="G4" t="s">
        <v>11</v>
      </c>
      <c r="H4" s="6">
        <v>44800</v>
      </c>
      <c r="I4" s="7">
        <v>194.6</v>
      </c>
      <c r="J4" s="7">
        <f t="shared" ref="J4" si="3">H4-H3</f>
        <v>10500</v>
      </c>
      <c r="M4" s="21">
        <f>E1-1</f>
        <v>5.8719906048154691E-4</v>
      </c>
    </row>
    <row r="5" spans="1:13" x14ac:dyDescent="0.25">
      <c r="A5" t="s">
        <v>11</v>
      </c>
      <c r="B5" s="6">
        <f t="shared" si="1"/>
        <v>59800</v>
      </c>
      <c r="C5" s="7">
        <f t="shared" si="0"/>
        <v>494.6</v>
      </c>
      <c r="D5" s="7">
        <f>B5-B4</f>
        <v>15000</v>
      </c>
      <c r="E5">
        <v>3.3000000000000002E-2</v>
      </c>
      <c r="G5" t="s">
        <v>11</v>
      </c>
      <c r="H5" s="6">
        <v>59800</v>
      </c>
      <c r="I5" s="7">
        <v>494.6</v>
      </c>
      <c r="J5" s="7">
        <f t="shared" ref="J5:J11" si="4">H5-H4</f>
        <v>15000</v>
      </c>
    </row>
    <row r="6" spans="1:13" x14ac:dyDescent="0.25">
      <c r="A6" t="s">
        <v>11</v>
      </c>
      <c r="B6" s="6">
        <f t="shared" si="1"/>
        <v>78600</v>
      </c>
      <c r="C6" s="7">
        <f t="shared" si="0"/>
        <v>1115</v>
      </c>
      <c r="D6" s="7">
        <f t="shared" si="2"/>
        <v>18800</v>
      </c>
      <c r="E6">
        <v>7.0000000000000007E-2</v>
      </c>
      <c r="G6" t="s">
        <v>11</v>
      </c>
      <c r="H6" s="6">
        <v>78600</v>
      </c>
      <c r="I6" s="7">
        <v>1115</v>
      </c>
      <c r="J6" s="7">
        <f t="shared" si="4"/>
        <v>18800</v>
      </c>
    </row>
    <row r="7" spans="1:13" x14ac:dyDescent="0.25">
      <c r="A7" t="s">
        <v>11</v>
      </c>
      <c r="B7" s="6">
        <f t="shared" si="1"/>
        <v>84600</v>
      </c>
      <c r="C7" s="7">
        <f t="shared" si="0"/>
        <v>1535</v>
      </c>
      <c r="D7" s="7">
        <f t="shared" si="2"/>
        <v>6000</v>
      </c>
      <c r="E7">
        <v>0.08</v>
      </c>
      <c r="G7" t="s">
        <v>11</v>
      </c>
      <c r="H7" s="6">
        <v>84600</v>
      </c>
      <c r="I7" s="7">
        <v>1535</v>
      </c>
      <c r="J7" s="7">
        <f t="shared" si="4"/>
        <v>6000</v>
      </c>
    </row>
    <row r="8" spans="1:13" x14ac:dyDescent="0.25">
      <c r="A8" t="s">
        <v>11</v>
      </c>
      <c r="B8" s="6">
        <f t="shared" si="1"/>
        <v>112300</v>
      </c>
      <c r="C8" s="7">
        <f>C7+D8*E7</f>
        <v>3751</v>
      </c>
      <c r="D8" s="7">
        <f t="shared" si="2"/>
        <v>27700</v>
      </c>
      <c r="E8">
        <v>9.5000000000000001E-2</v>
      </c>
      <c r="G8" t="s">
        <v>11</v>
      </c>
      <c r="H8" s="6">
        <v>112200</v>
      </c>
      <c r="I8" s="7">
        <v>3743</v>
      </c>
      <c r="J8" s="7">
        <f t="shared" si="4"/>
        <v>27600</v>
      </c>
    </row>
    <row r="9" spans="1:13" x14ac:dyDescent="0.25">
      <c r="A9" t="s">
        <v>11</v>
      </c>
      <c r="B9" s="6">
        <f t="shared" si="1"/>
        <v>145900</v>
      </c>
      <c r="C9" s="7">
        <f>C8+D9*E8</f>
        <v>6943</v>
      </c>
      <c r="D9" s="7">
        <f t="shared" si="2"/>
        <v>33600</v>
      </c>
      <c r="E9">
        <v>0.11700000000000001</v>
      </c>
      <c r="G9" t="s">
        <v>11</v>
      </c>
      <c r="H9" s="6">
        <v>145800</v>
      </c>
      <c r="I9" s="7">
        <v>6935</v>
      </c>
      <c r="J9" s="7">
        <f t="shared" si="4"/>
        <v>33600</v>
      </c>
    </row>
    <row r="10" spans="1:13" x14ac:dyDescent="0.25">
      <c r="A10" t="s">
        <v>11</v>
      </c>
      <c r="B10" s="6">
        <f>ROUND(H10*$E$1,-2)</f>
        <v>190900</v>
      </c>
      <c r="C10" s="7">
        <f>C9+D10*E9</f>
        <v>12208</v>
      </c>
      <c r="D10" s="7">
        <f t="shared" si="2"/>
        <v>45000</v>
      </c>
      <c r="E10">
        <v>0.13300000000000001</v>
      </c>
      <c r="G10" t="s">
        <v>11</v>
      </c>
      <c r="H10" s="6">
        <v>190800</v>
      </c>
      <c r="I10" s="7">
        <v>12200</v>
      </c>
      <c r="J10" s="7">
        <f t="shared" si="4"/>
        <v>45000</v>
      </c>
    </row>
    <row r="11" spans="1:13" x14ac:dyDescent="0.25">
      <c r="A11" t="s">
        <v>11</v>
      </c>
      <c r="B11" s="6">
        <f>ROUND(H11*$E$1,-2)-100</f>
        <v>732400</v>
      </c>
      <c r="C11" s="7">
        <f>0.115*B11</f>
        <v>84226</v>
      </c>
      <c r="D11" s="7">
        <f>B11-B10</f>
        <v>541500</v>
      </c>
      <c r="E11">
        <v>0.115</v>
      </c>
      <c r="G11" t="s">
        <v>11</v>
      </c>
      <c r="H11" s="6">
        <v>732100</v>
      </c>
      <c r="I11" s="7">
        <v>84191.5</v>
      </c>
      <c r="J11" s="7">
        <f t="shared" si="4"/>
        <v>541300</v>
      </c>
    </row>
    <row r="16" spans="1:13" x14ac:dyDescent="0.25">
      <c r="A16" s="18" t="s">
        <v>25</v>
      </c>
      <c r="B16">
        <v>15200</v>
      </c>
      <c r="C16">
        <v>0</v>
      </c>
      <c r="E16">
        <v>7.7000000000000002E-3</v>
      </c>
    </row>
    <row r="17" spans="1:6" x14ac:dyDescent="0.25">
      <c r="A17" s="18" t="s">
        <v>26</v>
      </c>
      <c r="B17">
        <v>33200</v>
      </c>
      <c r="C17">
        <v>138.6</v>
      </c>
      <c r="D17">
        <f>B17-B16</f>
        <v>18000</v>
      </c>
      <c r="E17">
        <v>8.8000000000000005E-3</v>
      </c>
    </row>
    <row r="18" spans="1:6" x14ac:dyDescent="0.25">
      <c r="A18" s="18" t="s">
        <v>27</v>
      </c>
      <c r="B18">
        <v>43500</v>
      </c>
      <c r="C18">
        <v>229.2</v>
      </c>
      <c r="D18">
        <f t="shared" ref="D18:D39" si="5">B18-B17</f>
        <v>10300</v>
      </c>
      <c r="E18">
        <v>2.64E-2</v>
      </c>
    </row>
    <row r="19" spans="1:6" x14ac:dyDescent="0.25">
      <c r="A19" s="18" t="s">
        <v>28</v>
      </c>
      <c r="B19">
        <v>58000</v>
      </c>
      <c r="C19">
        <v>612</v>
      </c>
      <c r="D19">
        <f t="shared" si="5"/>
        <v>14500</v>
      </c>
      <c r="E19">
        <v>2.9700000000000001E-2</v>
      </c>
    </row>
    <row r="20" spans="1:6" x14ac:dyDescent="0.25">
      <c r="A20" s="18" t="s">
        <v>29</v>
      </c>
      <c r="B20">
        <v>76200</v>
      </c>
      <c r="C20">
        <v>1152.5</v>
      </c>
      <c r="D20">
        <f t="shared" si="5"/>
        <v>18200</v>
      </c>
      <c r="E20">
        <v>5.9400000000000001E-2</v>
      </c>
    </row>
    <row r="21" spans="1:6" x14ac:dyDescent="0.25">
      <c r="A21" s="18" t="s">
        <v>30</v>
      </c>
      <c r="B21">
        <v>82100</v>
      </c>
      <c r="C21">
        <v>1502.95</v>
      </c>
      <c r="D21">
        <f t="shared" si="5"/>
        <v>5900</v>
      </c>
      <c r="E21">
        <v>6.6000000000000003E-2</v>
      </c>
    </row>
    <row r="22" spans="1:6" x14ac:dyDescent="0.25">
      <c r="A22" s="18" t="s">
        <v>31</v>
      </c>
      <c r="B22">
        <v>108900</v>
      </c>
      <c r="C22">
        <v>3271.75</v>
      </c>
      <c r="D22">
        <f t="shared" si="5"/>
        <v>26800</v>
      </c>
      <c r="E22">
        <v>8.8000000000000009E-2</v>
      </c>
    </row>
    <row r="23" spans="1:6" x14ac:dyDescent="0.25">
      <c r="A23" s="18" t="s">
        <v>32</v>
      </c>
      <c r="B23">
        <v>141500</v>
      </c>
      <c r="C23">
        <v>6140.55</v>
      </c>
      <c r="D23">
        <f t="shared" si="5"/>
        <v>32600</v>
      </c>
      <c r="E23">
        <v>0.11</v>
      </c>
    </row>
    <row r="24" spans="1:6" x14ac:dyDescent="0.25">
      <c r="A24" s="18" t="s">
        <v>33</v>
      </c>
      <c r="B24">
        <v>185100</v>
      </c>
      <c r="C24">
        <v>10936.55</v>
      </c>
      <c r="D24">
        <f t="shared" si="5"/>
        <v>43600</v>
      </c>
      <c r="E24">
        <v>0.13200000000000001</v>
      </c>
    </row>
    <row r="25" spans="1:6" x14ac:dyDescent="0.25">
      <c r="A25" s="18" t="s">
        <v>34</v>
      </c>
      <c r="B25">
        <v>793900</v>
      </c>
      <c r="C25">
        <v>91298.150000000009</v>
      </c>
      <c r="D25">
        <f t="shared" si="5"/>
        <v>608800</v>
      </c>
      <c r="E25">
        <v>0.1184999999999127</v>
      </c>
    </row>
    <row r="26" spans="1:6" x14ac:dyDescent="0.25">
      <c r="A26" s="18" t="s">
        <v>35</v>
      </c>
      <c r="B26">
        <v>794000</v>
      </c>
      <c r="C26">
        <v>91310</v>
      </c>
      <c r="D26">
        <f t="shared" si="5"/>
        <v>100</v>
      </c>
      <c r="E26">
        <v>0.115</v>
      </c>
      <c r="F26">
        <f>C26/B26</f>
        <v>0.115</v>
      </c>
    </row>
    <row r="27" spans="1:6" x14ac:dyDescent="0.25">
      <c r="A27" s="18" t="s">
        <v>36</v>
      </c>
      <c r="B27">
        <v>29700</v>
      </c>
      <c r="C27">
        <v>0</v>
      </c>
      <c r="E27">
        <v>0.01</v>
      </c>
    </row>
    <row r="28" spans="1:6" x14ac:dyDescent="0.25">
      <c r="A28" s="18" t="s">
        <v>37</v>
      </c>
      <c r="B28">
        <v>53400</v>
      </c>
      <c r="C28">
        <v>237</v>
      </c>
      <c r="D28">
        <f t="shared" si="5"/>
        <v>23700</v>
      </c>
      <c r="E28">
        <v>0.02</v>
      </c>
    </row>
    <row r="29" spans="1:6" x14ac:dyDescent="0.25">
      <c r="A29" s="18" t="s">
        <v>38</v>
      </c>
      <c r="B29">
        <v>61300</v>
      </c>
      <c r="C29">
        <v>395</v>
      </c>
      <c r="D29">
        <f t="shared" si="5"/>
        <v>7900</v>
      </c>
      <c r="E29">
        <v>0.03</v>
      </c>
    </row>
    <row r="30" spans="1:6" x14ac:dyDescent="0.25">
      <c r="A30" s="18" t="s">
        <v>39</v>
      </c>
      <c r="B30">
        <v>79100</v>
      </c>
      <c r="C30">
        <v>929</v>
      </c>
      <c r="D30">
        <f t="shared" si="5"/>
        <v>17800</v>
      </c>
      <c r="E30">
        <v>0.04</v>
      </c>
    </row>
    <row r="31" spans="1:6" x14ac:dyDescent="0.25">
      <c r="A31" s="18" t="s">
        <v>40</v>
      </c>
      <c r="B31">
        <v>94900</v>
      </c>
      <c r="C31">
        <v>1561</v>
      </c>
      <c r="D31">
        <f t="shared" si="5"/>
        <v>15800</v>
      </c>
      <c r="E31">
        <v>0.05</v>
      </c>
    </row>
    <row r="32" spans="1:6" x14ac:dyDescent="0.25">
      <c r="A32" s="18" t="s">
        <v>41</v>
      </c>
      <c r="B32">
        <v>108700</v>
      </c>
      <c r="C32">
        <v>2251</v>
      </c>
      <c r="D32">
        <f t="shared" si="5"/>
        <v>13800</v>
      </c>
      <c r="E32">
        <v>0.06</v>
      </c>
    </row>
    <row r="33" spans="1:5" x14ac:dyDescent="0.25">
      <c r="A33" s="18" t="s">
        <v>42</v>
      </c>
      <c r="B33">
        <v>120600</v>
      </c>
      <c r="C33">
        <v>2965</v>
      </c>
      <c r="D33">
        <f t="shared" si="5"/>
        <v>11900</v>
      </c>
      <c r="E33">
        <v>7.0000000000000007E-2</v>
      </c>
    </row>
    <row r="34" spans="1:5" x14ac:dyDescent="0.25">
      <c r="A34" s="18" t="s">
        <v>43</v>
      </c>
      <c r="B34">
        <v>130500</v>
      </c>
      <c r="C34">
        <v>3658</v>
      </c>
      <c r="D34">
        <f t="shared" si="5"/>
        <v>9900</v>
      </c>
      <c r="E34">
        <v>0.08</v>
      </c>
    </row>
    <row r="35" spans="1:5" x14ac:dyDescent="0.25">
      <c r="A35" s="18" t="s">
        <v>44</v>
      </c>
      <c r="B35">
        <v>138400</v>
      </c>
      <c r="C35">
        <v>4290</v>
      </c>
      <c r="D35">
        <f t="shared" si="5"/>
        <v>7900</v>
      </c>
      <c r="E35">
        <v>0.09</v>
      </c>
    </row>
    <row r="36" spans="1:5" x14ac:dyDescent="0.25">
      <c r="A36" s="18" t="s">
        <v>45</v>
      </c>
      <c r="B36">
        <v>144300</v>
      </c>
      <c r="C36">
        <v>4821</v>
      </c>
      <c r="D36">
        <f t="shared" si="5"/>
        <v>5900</v>
      </c>
      <c r="E36">
        <v>0.1</v>
      </c>
    </row>
    <row r="37" spans="1:5" x14ac:dyDescent="0.25">
      <c r="A37" s="18" t="s">
        <v>46</v>
      </c>
      <c r="B37">
        <v>148300</v>
      </c>
      <c r="C37">
        <v>5221</v>
      </c>
      <c r="D37">
        <f t="shared" si="5"/>
        <v>4000</v>
      </c>
      <c r="E37">
        <v>0.11</v>
      </c>
    </row>
    <row r="38" spans="1:5" x14ac:dyDescent="0.25">
      <c r="A38" s="18" t="s">
        <v>47</v>
      </c>
      <c r="B38">
        <v>150400</v>
      </c>
      <c r="C38">
        <v>5452</v>
      </c>
      <c r="D38">
        <f t="shared" si="5"/>
        <v>2100</v>
      </c>
      <c r="E38">
        <v>0.12</v>
      </c>
    </row>
    <row r="39" spans="1:5" x14ac:dyDescent="0.25">
      <c r="A39" s="18" t="s">
        <v>48</v>
      </c>
      <c r="B39">
        <v>152400</v>
      </c>
      <c r="C39">
        <v>5692</v>
      </c>
      <c r="D39">
        <f t="shared" si="5"/>
        <v>2000</v>
      </c>
      <c r="E39">
        <v>0.13</v>
      </c>
    </row>
    <row r="40" spans="1:5" x14ac:dyDescent="0.25">
      <c r="A40" s="18" t="s">
        <v>49</v>
      </c>
      <c r="B40">
        <v>941300</v>
      </c>
      <c r="C40">
        <v>108249</v>
      </c>
      <c r="D40">
        <f>B40-B39</f>
        <v>788900</v>
      </c>
      <c r="E40">
        <v>0.12</v>
      </c>
    </row>
    <row r="41" spans="1:5" x14ac:dyDescent="0.25">
      <c r="A41" s="18" t="s">
        <v>50</v>
      </c>
      <c r="B41">
        <v>941400</v>
      </c>
      <c r="C41">
        <v>108261</v>
      </c>
      <c r="D41">
        <f>B41-B40</f>
        <v>100</v>
      </c>
      <c r="E41">
        <v>0.115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Ehepaar</vt:lpstr>
      <vt:lpstr>Tarife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Mischa Aebi</dc:creator>
  <cp:lastModifiedBy>Mischa Aebi</cp:lastModifiedBy>
  <dcterms:created xsi:type="dcterms:W3CDTF">2025-02-22T10:29:07Z</dcterms:created>
  <dcterms:modified xsi:type="dcterms:W3CDTF">2026-10-17T16:36:18Z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2025-02-25T08:36:28Z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d55b50dd-9fe8-41c4-aa72-6d53bf9f489e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